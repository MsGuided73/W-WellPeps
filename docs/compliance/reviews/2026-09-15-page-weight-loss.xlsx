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Summary" sheetId="2" state="visible" r:id="rId2"/>
    <sheet xmlns:r="http://schemas.openxmlformats.org/officeDocument/2006/relationships" name="Change Log" sheetId="3" state="visible" r:id="rId3"/>
  </sheets>
  <definedNames>
    <definedName name="_xlnm._FilterDatabase" localSheetId="2" hidden="1">'Change Log'!$A$1:$Q$26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3"/>
    </font>
    <font>
      <name val="Arial"/>
      <i val="1"/>
      <sz val="10"/>
    </font>
    <font>
      <name val="Arial"/>
      <b val="1"/>
      <sz val="10"/>
    </font>
    <font>
      <name val="Arial"/>
      <b val="1"/>
      <sz val="12"/>
    </font>
  </fonts>
  <fills count="4">
    <fill>
      <patternFill/>
    </fill>
    <fill>
      <patternFill patternType="gray125"/>
    </fill>
    <fill>
      <patternFill patternType="solid">
        <fgColor rgb="00082B59"/>
      </patternFill>
    </fill>
    <fill>
      <patternFill patternType="solid">
        <fgColor rgb="00FFF9DB"/>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10">
    <xf numFmtId="0" fontId="0" fillId="0" borderId="0" pivotButton="0" quotePrefix="0" xfId="0"/>
    <xf numFmtId="0" fontId="6"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dxfs count="4">
    <dxf>
      <fill>
        <patternFill patternType="solid">
          <fgColor rgb="00D9F2E3"/>
        </patternFill>
      </fill>
    </dxf>
    <dxf>
      <fill>
        <patternFill patternType="solid">
          <fgColor rgb="00FFE9B3"/>
        </patternFill>
      </fill>
    </dxf>
    <dxf>
      <fill>
        <patternFill patternType="solid">
          <fgColor rgb="00F8D0D0"/>
        </patternFill>
      </fill>
    </dxf>
    <dxf>
      <font>
        <name val="Arial"/>
        <b val="1"/>
        <color rgb="00B0002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How to review this log</t>
        </is>
      </c>
    </row>
    <row r="2">
      <c r="A2" s="2" t="inlineStr">
        <is>
          <t>1. Read the Change Log tab left to right. Columns A–L are the skill's output and should not be edited.</t>
        </is>
      </c>
    </row>
    <row r="3">
      <c r="A3" s="2" t="inlineStr">
        <is>
          <t>2. Yellow columns M–Q are yours. Add comments, pick a Decision (Approve / Modify / Reject / Needs info), and set Status.</t>
        </is>
      </c>
    </row>
    <row r="4">
      <c r="A4" s="2" t="inlineStr">
        <is>
          <t>3. FLAG rows are questions only a human can answer. The 'Human verification needed' column says exactly what to confirm and 'Suggested owner' says who.</t>
        </is>
      </c>
    </row>
    <row r="5">
      <c r="A5" s="2" t="inlineStr">
        <is>
          <t>4. REVISE rows already contain the proposed wording. Approve means the wording goes in as written; Modify means write your version in the comment column.</t>
        </is>
      </c>
    </row>
    <row r="6">
      <c r="A6" s="2" t="inlineStr">
        <is>
          <t>5. PASS rows are listed so the review is auditable. They need no action.</t>
        </is>
      </c>
    </row>
    <row r="7">
      <c r="A7" s="2" t="inlineStr">
        <is>
          <t>6. Severity: S1 = FDA status, compounded-drug language, partner claims, pricing, states served, missing disclosures. S2 = outcome or superiority claims. S3 = wording and terminology.</t>
        </is>
      </c>
    </row>
    <row r="8">
      <c r="A8" s="2" t="inlineStr">
        <is>
          <t>7. Rule numbers refer to .claude/skills/wellpeps-compliance-review/references/compliance-spec.md. Source citations point to the LegitScript guides and WellPeps playbooks in the repo.</t>
        </is>
      </c>
    </row>
    <row r="9">
      <c r="A9" s="2" t="inlineStr">
        <is>
          <t>8. Nothing on the site changes until a Decision is recorded and the edit is applied and deployed. This file is the record of what was approved.</t>
        </is>
      </c>
    </row>
    <row r="10">
      <c r="A10" s="2" t="inlineStr"/>
    </row>
    <row r="11">
      <c r="A11" s="1" t="inlineStr">
        <is>
          <t>Verdict definitions</t>
        </is>
      </c>
    </row>
    <row r="12">
      <c r="A12" s="2" t="inlineStr">
        <is>
          <t>PASS — no material compliance issue; leave substantially unchanged.</t>
        </is>
      </c>
    </row>
    <row r="13">
      <c r="A13" s="2" t="inlineStr">
        <is>
          <t>REVISE — wording corrected with confidence using the minimum change; meaning, tone, SEO and structure preserved.</t>
        </is>
      </c>
    </row>
    <row r="14">
      <c r="A14" s="2" t="inlineStr">
        <is>
          <t>FLAG — human review required: FDA status, compounded-drug rules, partner or pharmacy claims, pricing, states served, strong clinical claims, unverifiable statistics.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40" customWidth="1" min="1" max="1"/>
    <col width="12" customWidth="1" min="2" max="2"/>
    <col width="34" customWidth="1" min="3" max="3"/>
  </cols>
  <sheetData>
    <row r="1">
      <c r="A1" s="3" t="inlineStr">
        <is>
          <t>Compliance review — weight-loss page — 2026-09-15</t>
        </is>
      </c>
    </row>
    <row r="2">
      <c r="A2" s="4" t="inlineStr">
        <is>
          <t>Sample run for presentation. No edits applied to the site. Counts below recalculate from the Change Log tab.</t>
        </is>
      </c>
    </row>
    <row r="3">
      <c r="A3" s="5" t="inlineStr">
        <is>
          <t>Verdict</t>
        </is>
      </c>
      <c r="B3" s="5" t="inlineStr">
        <is>
          <t>Count</t>
        </is>
      </c>
      <c r="C3" s="5" t="inlineStr">
        <is>
          <t>Of which decided (Decision filled)</t>
        </is>
      </c>
    </row>
    <row r="4">
      <c r="A4" s="6" t="inlineStr">
        <is>
          <t>PASS</t>
        </is>
      </c>
      <c r="B4" s="6">
        <f>COUNTIF('Change Log'!$D:$D,A4)</f>
        <v/>
      </c>
      <c r="C4" s="6">
        <f>COUNTIFS('Change Log'!$D:$D,A4,'Change Log'!$O:$O,"&lt;&gt;")</f>
        <v/>
      </c>
    </row>
    <row r="5">
      <c r="A5" s="6" t="inlineStr">
        <is>
          <t>REVISE</t>
        </is>
      </c>
      <c r="B5" s="6">
        <f>COUNTIF('Change Log'!$D:$D,A5)</f>
        <v/>
      </c>
      <c r="C5" s="6">
        <f>COUNTIFS('Change Log'!$D:$D,A5,'Change Log'!$O:$O,"&lt;&gt;")</f>
        <v/>
      </c>
    </row>
    <row r="6">
      <c r="A6" s="6" t="inlineStr">
        <is>
          <t>FLAG</t>
        </is>
      </c>
      <c r="B6" s="6">
        <f>COUNTIF('Change Log'!$D:$D,A6)</f>
        <v/>
      </c>
      <c r="C6" s="6">
        <f>COUNTIFS('Change Log'!$D:$D,A6,'Change Log'!$O:$O,"&lt;&gt;")</f>
        <v/>
      </c>
    </row>
    <row r="7">
      <c r="A7" s="6" t="inlineStr">
        <is>
          <t>Total items</t>
        </is>
      </c>
      <c r="B7" s="6">
        <f>SUM(B4:B6)</f>
        <v/>
      </c>
      <c r="C7" s="6">
        <f>SUM(C4:C6)</f>
        <v/>
      </c>
    </row>
    <row r="8">
      <c r="A8" s="6" t="inlineStr"/>
      <c r="B8" s="6" t="inlineStr"/>
      <c r="C8" s="6" t="inlineStr"/>
    </row>
    <row r="9">
      <c r="A9" s="5" t="inlineStr">
        <is>
          <t>Severity</t>
        </is>
      </c>
      <c r="B9" s="5" t="inlineStr">
        <is>
          <t>Count</t>
        </is>
      </c>
      <c r="C9" s="5" t="inlineStr"/>
    </row>
    <row r="10">
      <c r="A10" s="6" t="inlineStr">
        <is>
          <t>S1 (must resolve before certification)</t>
        </is>
      </c>
      <c r="B10" s="6">
        <f>COUNTIF('Change Log'!$E:$E,"S1")</f>
        <v/>
      </c>
      <c r="C10" s="6" t="inlineStr"/>
    </row>
    <row r="11">
      <c r="A11" s="6" t="inlineStr">
        <is>
          <t>S2 (fix before ads or new content)</t>
        </is>
      </c>
      <c r="B11" s="6">
        <f>COUNTIF('Change Log'!$E:$E,"S2")</f>
        <v/>
      </c>
      <c r="C11" s="6" t="inlineStr"/>
    </row>
    <row r="12">
      <c r="A12" s="6" t="inlineStr">
        <is>
          <t>S3 (wording)</t>
        </is>
      </c>
      <c r="B12" s="6">
        <f>COUNTIF('Change Log'!$E:$E,"S3")</f>
        <v/>
      </c>
      <c r="C12" s="6" t="inlineStr"/>
    </row>
    <row r="13">
      <c r="A13" s="6" t="inlineStr"/>
      <c r="B13" s="6" t="inlineStr"/>
      <c r="C13" s="6" t="inlineStr"/>
    </row>
    <row r="14">
      <c r="A14" s="5" t="inlineStr">
        <is>
          <t>Status</t>
        </is>
      </c>
      <c r="B14" s="5" t="inlineStr">
        <is>
          <t>Count</t>
        </is>
      </c>
      <c r="C14" s="5" t="inlineStr"/>
    </row>
    <row r="15">
      <c r="A15" s="6" t="inlineStr">
        <is>
          <t>Open</t>
        </is>
      </c>
      <c r="B15" s="6">
        <f>COUNTIF('Change Log'!$P:$P,"Open")</f>
        <v/>
      </c>
      <c r="C15" s="6" t="inlineStr"/>
    </row>
    <row r="16">
      <c r="A16" s="6" t="inlineStr">
        <is>
          <t>In progress</t>
        </is>
      </c>
      <c r="B16" s="6">
        <f>COUNTIF('Change Log'!$P:$P,"In progress")</f>
        <v/>
      </c>
      <c r="C16" s="6" t="inlineStr"/>
    </row>
    <row r="17">
      <c r="A17" s="6" t="inlineStr">
        <is>
          <t>Done</t>
        </is>
      </c>
      <c r="B17" s="6">
        <f>COUNTIF('Change Log'!$P:$P,"Done")</f>
        <v/>
      </c>
      <c r="C17"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34" customWidth="1" min="3" max="3"/>
    <col width="10" customWidth="1" min="4" max="4"/>
    <col width="9" customWidth="1" min="5" max="5"/>
    <col width="28" customWidth="1" min="6" max="6"/>
    <col width="60" customWidth="1" min="7" max="7"/>
    <col width="60" customWidth="1" min="8" max="8"/>
    <col width="60" customWidth="1" min="9" max="9"/>
    <col width="34" customWidth="1" min="10" max="10"/>
    <col width="44" customWidth="1" min="11" max="11"/>
    <col width="18" customWidth="1" min="12" max="12"/>
    <col width="36" customWidth="1" min="13" max="13"/>
    <col width="36" customWidth="1" min="14" max="14"/>
    <col width="14" customWidth="1" min="15" max="15"/>
    <col width="12" customWidth="1" min="16" max="16"/>
    <col width="14" customWidth="1" min="17" max="17"/>
  </cols>
  <sheetData>
    <row r="1" ht="30" customHeight="1">
      <c r="A1" s="7" t="inlineStr">
        <is>
          <t>ID</t>
        </is>
      </c>
      <c r="B1" s="7" t="inlineStr">
        <is>
          <t>Section</t>
        </is>
      </c>
      <c r="C1" s="7" t="inlineStr">
        <is>
          <t>Location (file · field)</t>
        </is>
      </c>
      <c r="D1" s="7" t="inlineStr">
        <is>
          <t>Verdict</t>
        </is>
      </c>
      <c r="E1" s="7" t="inlineStr">
        <is>
          <t>Severity</t>
        </is>
      </c>
      <c r="F1" s="7" t="inlineStr">
        <is>
          <t>Rule(s) cited</t>
        </is>
      </c>
      <c r="G1" s="7" t="inlineStr">
        <is>
          <t>Original text (verbatim)</t>
        </is>
      </c>
      <c r="H1" s="7" t="inlineStr">
        <is>
          <t>Proposed text</t>
        </is>
      </c>
      <c r="I1" s="7" t="inlineStr">
        <is>
          <t>Why</t>
        </is>
      </c>
      <c r="J1" s="7" t="inlineStr">
        <is>
          <t>Source cited</t>
        </is>
      </c>
      <c r="K1" s="7" t="inlineStr">
        <is>
          <t>Human verification needed</t>
        </is>
      </c>
      <c r="L1" s="7" t="inlineStr">
        <is>
          <t>Suggested owner</t>
        </is>
      </c>
      <c r="M1" s="7" t="inlineStr">
        <is>
          <t>Derek comment</t>
        </is>
      </c>
      <c r="N1" s="7" t="inlineStr">
        <is>
          <t>WellPeps comment</t>
        </is>
      </c>
      <c r="O1" s="7" t="inlineStr">
        <is>
          <t>Decision</t>
        </is>
      </c>
      <c r="P1" s="7" t="inlineStr">
        <is>
          <t>Status</t>
        </is>
      </c>
      <c r="Q1" s="7" t="inlineStr">
        <is>
          <t>Date resolved</t>
        </is>
      </c>
    </row>
    <row r="2">
      <c r="A2" s="8" t="inlineStr">
        <is>
          <t>WL-01</t>
        </is>
      </c>
      <c r="B2" s="8" t="inlineStr">
        <is>
          <t>Metadata</t>
        </is>
      </c>
      <c r="C2" s="8" t="inlineStr">
        <is>
          <t>wellpeps-site/src/pages/weight-loss.astro · description (meta)</t>
        </is>
      </c>
      <c r="D2" s="8" t="inlineStr">
        <is>
          <t>REVISE</t>
        </is>
      </c>
      <c r="E2" s="8" t="inlineStr">
        <is>
          <t>S3</t>
        </is>
      </c>
      <c r="F2" s="8" t="inlineStr">
        <is>
          <t>Rule 3 Provider terminology; Rule 1 Outcome claims</t>
        </is>
      </c>
      <c r="G2" s="8" t="inlineStr">
        <is>
          <t>Physician-guided GLP-1 weight management with semaglutide or tirzepatide, plus personalized support for sustainable results. Start your free online health assessment.</t>
        </is>
      </c>
      <c r="H2" s="8" t="inlineStr">
        <is>
          <t>Provider-guided GLP-1 weight management with semaglutide or tirzepatide, plus personalized support for your weight management goals. Start your free online health assessment.</t>
        </is>
      </c>
      <c r="I2" s="8" t="inlineStr">
        <is>
          <t>"Physician-guided" implies every patient is seen by a physician when licensed non-physician clinicians may provide care. "Sustainable results" promises an outcome inside a 155-character field where no context is possible.</t>
        </is>
      </c>
      <c r="J2" s="8" t="inlineStr">
        <is>
          <t>Client prompt rule 4; LS Step §5 advertising copy; WP Playbook §14 RED "Promise outcomes"</t>
        </is>
      </c>
      <c r="K2" s="8" t="inlineStr"/>
      <c r="L2" s="8" t="inlineStr"/>
      <c r="M2" s="9" t="inlineStr"/>
      <c r="N2" s="9" t="inlineStr"/>
      <c r="O2" s="9" t="inlineStr"/>
      <c r="P2" s="9" t="inlineStr">
        <is>
          <t>Open</t>
        </is>
      </c>
      <c r="Q2" s="9" t="inlineStr"/>
    </row>
    <row r="3">
      <c r="A3" s="8" t="inlineStr">
        <is>
          <t>WL-02</t>
        </is>
      </c>
      <c r="B3" s="8" t="inlineStr">
        <is>
          <t>Hero</t>
        </is>
      </c>
      <c r="C3" s="8" t="inlineStr">
        <is>
          <t>src/data/weight.ts · weightHero.lead</t>
        </is>
      </c>
      <c r="D3" s="8" t="inlineStr">
        <is>
          <t>REVISE</t>
        </is>
      </c>
      <c r="E3" s="8" t="inlineStr">
        <is>
          <t>S3</t>
        </is>
      </c>
      <c r="F3" s="8" t="inlineStr">
        <is>
          <t>Rule 3; Rule 1</t>
        </is>
      </c>
      <c r="G3" s="8" t="inlineStr">
        <is>
          <t>Physician-guided GLP-1 weight management that includes semaglutide or tirzepatide, combined with personalized support to help you achieve sustainable results.</t>
        </is>
      </c>
      <c r="H3" s="8" t="inlineStr">
        <is>
          <t>Provider-guided GLP-1 weight management that includes semaglutide or tirzepatide, combined with personalized support for your weight management goals.</t>
        </is>
      </c>
      <c r="I3" s="8" t="inlineStr">
        <is>
          <t>Same two issues as WL-01, in the first sentence a visitor and a LegitScript analyst read.</t>
        </is>
      </c>
      <c r="J3" s="8" t="inlineStr">
        <is>
          <t>Client prompt rule 4; LS Step §5</t>
        </is>
      </c>
      <c r="K3" s="8" t="inlineStr"/>
      <c r="L3" s="8" t="inlineStr"/>
      <c r="M3" s="9" t="inlineStr"/>
      <c r="N3" s="9" t="inlineStr"/>
      <c r="O3" s="9" t="inlineStr"/>
      <c r="P3" s="9" t="inlineStr">
        <is>
          <t>Open</t>
        </is>
      </c>
      <c r="Q3" s="9" t="inlineStr"/>
    </row>
    <row r="4">
      <c r="A4" s="8" t="inlineStr">
        <is>
          <t>WL-03</t>
        </is>
      </c>
      <c r="B4" s="8" t="inlineStr">
        <is>
          <t>Hero</t>
        </is>
      </c>
      <c r="C4" s="8" t="inlineStr">
        <is>
          <t>src/data/weight.ts · weightHero.alt (image alt text)</t>
        </is>
      </c>
      <c r="D4" s="8" t="inlineStr">
        <is>
          <t>REVISE</t>
        </is>
      </c>
      <c r="E4" s="8" t="inlineStr">
        <is>
          <t>S3</t>
        </is>
      </c>
      <c r="F4" s="8" t="inlineStr">
        <is>
          <t>Rule 1; Rule 9 short formats</t>
        </is>
      </c>
      <c r="G4" s="8" t="inlineStr">
        <is>
          <t>A fit, smiling woman standing with arms crossed</t>
        </is>
      </c>
      <c r="H4" s="8" t="inlineStr">
        <is>
          <t>A smiling woman standing with arms crossed</t>
        </is>
      </c>
      <c r="I4" s="8" t="inlineStr">
        <is>
          <t>"Fit" is an outcome cue in alt text, which the skill treats as public copy. Separately, if this page becomes a paid-ad landing page, the photo itself should be checked against Meta's idealized-body rule for weight-loss ads.</t>
        </is>
      </c>
      <c r="J4" s="8" t="inlineStr">
        <is>
          <t>Surface map §5 Meta; LS Fact p.2 "before/afters, bold health claims"</t>
        </is>
      </c>
      <c r="K4" s="8" t="inlineStr"/>
      <c r="L4" s="8" t="inlineStr"/>
      <c r="M4" s="9" t="inlineStr"/>
      <c r="N4" s="9" t="inlineStr"/>
      <c r="O4" s="9" t="inlineStr"/>
      <c r="P4" s="9" t="inlineStr">
        <is>
          <t>Open</t>
        </is>
      </c>
      <c r="Q4" s="9" t="inlineStr"/>
    </row>
    <row r="5">
      <c r="A5" s="8" t="inlineStr">
        <is>
          <t>WL-04</t>
        </is>
      </c>
      <c r="B5" s="8" t="inlineStr">
        <is>
          <t>Metadata</t>
        </is>
      </c>
      <c r="C5" s="8" t="inlineStr">
        <is>
          <t>weight-loss.astro · title</t>
        </is>
      </c>
      <c r="D5" s="8" t="inlineStr">
        <is>
          <t>PASS</t>
        </is>
      </c>
      <c r="E5" s="8" t="inlineStr"/>
      <c r="F5" s="8" t="inlineStr"/>
      <c r="G5" s="8" t="inlineStr">
        <is>
          <t>GLP-1 Weight Management — WellPeps</t>
        </is>
      </c>
      <c r="H5" s="8" t="inlineStr"/>
      <c r="I5" s="8" t="inlineStr">
        <is>
          <t>No material issue.</t>
        </is>
      </c>
      <c r="J5" s="8" t="inlineStr"/>
      <c r="K5" s="8" t="inlineStr"/>
      <c r="L5" s="8" t="inlineStr"/>
      <c r="M5" s="9" t="inlineStr"/>
      <c r="N5" s="9" t="inlineStr"/>
      <c r="O5" s="9" t="inlineStr"/>
      <c r="P5" s="9" t="inlineStr">
        <is>
          <t>Open</t>
        </is>
      </c>
      <c r="Q5" s="9" t="inlineStr"/>
    </row>
    <row r="6">
      <c r="A6" s="8" t="inlineStr">
        <is>
          <t>WL-05</t>
        </is>
      </c>
      <c r="B6" s="8" t="inlineStr">
        <is>
          <t>How GLP-1 Medications Work</t>
        </is>
      </c>
      <c r="C6" s="8" t="inlineStr">
        <is>
          <t>src/data/weight.ts · weightWorksIntro + weightWorks (3 steps)</t>
        </is>
      </c>
      <c r="D6" s="8" t="inlineStr">
        <is>
          <t>PASS</t>
        </is>
      </c>
      <c r="E6" s="8" t="inlineStr"/>
      <c r="F6" s="8" t="inlineStr">
        <is>
          <t>Rule 1 (mechanism, not outcome)</t>
        </is>
      </c>
      <c r="G6" s="8" t="inlineStr">
        <is>
          <t>GLP-1 medications work with your body's natural processes to help reduce hunger, increase fullness, and support healthy, sustainable weight loss. / Reduce Hunger … / Feel Fuller Longer … / Support Weight Loss: Helps sustain weight loss when combined with healthy lifestyle changes.</t>
        </is>
      </c>
      <c r="H6" s="8" t="inlineStr"/>
      <c r="I6" s="8" t="inlineStr">
        <is>
          <t>Describes the established mechanism of the GLP-1 class and mirrors approved labeling (adjunct to diet and exercise). This is the model for how mechanism language should read across the site. No change.</t>
        </is>
      </c>
      <c r="J6" s="8" t="inlineStr">
        <is>
          <t>Client prompt rule 2 (mechanism vs outcome)</t>
        </is>
      </c>
      <c r="K6" s="8" t="inlineStr"/>
      <c r="L6" s="8" t="inlineStr"/>
      <c r="M6" s="9" t="inlineStr"/>
      <c r="N6" s="9" t="inlineStr"/>
      <c r="O6" s="9" t="inlineStr"/>
      <c r="P6" s="9" t="inlineStr">
        <is>
          <t>Open</t>
        </is>
      </c>
      <c r="Q6" s="9" t="inlineStr"/>
    </row>
    <row r="7">
      <c r="A7" s="8" t="inlineStr">
        <is>
          <t>WL-06</t>
        </is>
      </c>
      <c r="B7" s="8" t="inlineStr">
        <is>
          <t>How GLP-1 Medications Work</t>
        </is>
      </c>
      <c r="C7" s="8" t="inlineStr">
        <is>
          <t>src/data/weight.ts · weightWorksNotes</t>
        </is>
      </c>
      <c r="D7" s="8" t="inlineStr">
        <is>
          <t>PASS</t>
        </is>
      </c>
      <c r="E7" s="8" t="inlineStr"/>
      <c r="F7" s="8" t="inlineStr"/>
      <c r="G7" s="8" t="inlineStr">
        <is>
          <t>Personalized for you. Every treatment plan is tailored to your health history, goals, and provider evaluation. / You're never alone. We're with you at every step of your wellness journey.</t>
        </is>
      </c>
      <c r="H7" s="8" t="inlineStr"/>
      <c r="I7" s="8" t="inlineStr">
        <is>
          <t>No material issue.</t>
        </is>
      </c>
      <c r="J7" s="8" t="inlineStr"/>
      <c r="K7" s="8" t="inlineStr"/>
      <c r="L7" s="8" t="inlineStr"/>
      <c r="M7" s="9" t="inlineStr"/>
      <c r="N7" s="9" t="inlineStr"/>
      <c r="O7" s="9" t="inlineStr"/>
      <c r="P7" s="9" t="inlineStr">
        <is>
          <t>Open</t>
        </is>
      </c>
      <c r="Q7" s="9" t="inlineStr"/>
    </row>
    <row r="8">
      <c r="A8" s="8" t="inlineStr">
        <is>
          <t>WL-07</t>
        </is>
      </c>
      <c r="B8" s="8" t="inlineStr">
        <is>
          <t>Why Patients Choose WellPeps</t>
        </is>
      </c>
      <c r="C8" s="8" t="inlineStr">
        <is>
          <t>src/data/weight.ts · weightWhyIntro.lead and weightWhy[2] "Made in America Medications"</t>
        </is>
      </c>
      <c r="D8" s="8" t="inlineStr">
        <is>
          <t>FLAG</t>
        </is>
      </c>
      <c r="E8" s="8" t="inlineStr">
        <is>
          <t>S1</t>
        </is>
      </c>
      <c r="F8" s="8" t="inlineStr">
        <is>
          <t>Rule 11 WellPeps' role and partner claims; Rule 4 Compounded vs FDA-approved</t>
        </is>
      </c>
      <c r="G8" s="8" t="inlineStr">
        <is>
          <t>Personalized care backed by licensed providers, nationwide lab access, and medications compounded in FDA-registered U.S. facilities. / Made in America Medications: Medications are compounded in FDA-registered U.S. facilities.</t>
        </is>
      </c>
      <c r="H8" s="8" t="inlineStr">
        <is>
          <t>Medications are prepared by licensed U.S. pharmacy partners. (If the filling pharmacy is a 503B outsourcing facility, "FDA-registered 503B outsourcing facility" may be used once its registration is documented.)</t>
        </is>
      </c>
      <c r="I8" s="8" t="inlineStr">
        <is>
          <t>"FDA-registered" is true only of 503B outsourcing facilities; 503A compounding pharmacies are state-licensed and do not register with FDA. Either way, a consumer hears FDA oversight or approval of the product. LegitScript verifies partner regulatory claims and requires fulfillment pharmacies to be LegitScript-certified or NABP-accredited.</t>
        </is>
      </c>
      <c r="J8" s="8" t="inlineStr">
        <is>
          <t>LS Step §3 Unverified Partners; LS 101 Affiliate and Partner Info; Cheat Sheet §4</t>
        </is>
      </c>
      <c r="K8" s="8" t="inlineStr">
        <is>
          <t>Which pharmacy fills each of the three products; whether each is 503A or 503B; its FDA registration (if 503B); its LegitScript or NABP status.</t>
        </is>
      </c>
      <c r="L8" s="8" t="inlineStr">
        <is>
          <t>Derek / Scriptful</t>
        </is>
      </c>
      <c r="M8" s="9" t="inlineStr"/>
      <c r="N8" s="9" t="inlineStr"/>
      <c r="O8" s="9" t="inlineStr"/>
      <c r="P8" s="9" t="inlineStr">
        <is>
          <t>Open</t>
        </is>
      </c>
      <c r="Q8" s="9" t="inlineStr"/>
    </row>
    <row r="9">
      <c r="A9" s="8" t="inlineStr">
        <is>
          <t>WL-08</t>
        </is>
      </c>
      <c r="B9" s="8" t="inlineStr">
        <is>
          <t>Why Patients Choose WellPeps</t>
        </is>
      </c>
      <c r="C9" s="8" t="inlineStr">
        <is>
          <t>src/data/weight.ts · weightWhy[0] "Personalized Care &amp; Coaching"</t>
        </is>
      </c>
      <c r="D9" s="8" t="inlineStr">
        <is>
          <t>FLAG</t>
        </is>
      </c>
      <c r="E9" s="8" t="inlineStr">
        <is>
          <t>S1</t>
        </is>
      </c>
      <c r="F9" s="8" t="inlineStr">
        <is>
          <t>Rule 12 Transparency (pricing and inclusions)</t>
        </is>
      </c>
      <c r="G9" s="8" t="inlineStr">
        <is>
          <t>Licensed healthcare providers are available free-of-charge for scheduled follow-ups to discuss your GLP-1 treatment.</t>
        </is>
      </c>
      <c r="H9" s="8" t="inlineStr">
        <is>
          <t>Keep as written only if follow-ups are included at no extra charge on every plan. Otherwise: "Scheduled follow-ups with a licensed healthcare provider are included in your plan."</t>
        </is>
      </c>
      <c r="I9" s="8" t="inlineStr">
        <is>
          <t>"Free-of-charge" is a pricing representation that must match the plan terms and the Everything Included strip. "Coaching" in the card title must correspond to an actual service.</t>
        </is>
      </c>
      <c r="J9" s="8" t="inlineStr">
        <is>
          <t>LS Fact standard "Transparency and Accuracy"</t>
        </is>
      </c>
      <c r="K9" s="8" t="inlineStr">
        <is>
          <t>Confirm follow-ups are included on all three plans; confirm what "coaching" is.</t>
        </is>
      </c>
      <c r="L9" s="8" t="inlineStr">
        <is>
          <t>Derek</t>
        </is>
      </c>
      <c r="M9" s="9" t="inlineStr"/>
      <c r="N9" s="9" t="inlineStr"/>
      <c r="O9" s="9" t="inlineStr"/>
      <c r="P9" s="9" t="inlineStr">
        <is>
          <t>Open</t>
        </is>
      </c>
      <c r="Q9" s="9" t="inlineStr"/>
    </row>
    <row r="10">
      <c r="A10" s="8" t="inlineStr">
        <is>
          <t>WL-09</t>
        </is>
      </c>
      <c r="B10" s="8" t="inlineStr">
        <is>
          <t>Why Patients Choose WellPeps</t>
        </is>
      </c>
      <c r="C10" s="8" t="inlineStr">
        <is>
          <t>src/data/weight.ts · weightWhy[1] "Quest® &amp; Labcorp® Access"</t>
        </is>
      </c>
      <c r="D10" s="8" t="inlineStr">
        <is>
          <t>FLAG</t>
        </is>
      </c>
      <c r="E10" s="8" t="inlineStr">
        <is>
          <t>S1</t>
        </is>
      </c>
      <c r="F10" s="8" t="inlineStr">
        <is>
          <t>Rule 12 Transparency; Rule 10 unverifiable claims</t>
        </is>
      </c>
      <c r="G10" s="8" t="inlineStr">
        <is>
          <t>Available nationwide for free-of-charge initial and follow-up tests for qualified patients.</t>
        </is>
      </c>
      <c r="H10" s="8" t="inlineStr">
        <is>
          <t>Lab testing through Quest Diagnostics® or Labcorp® is available in most states. When your provider orders labs, they are included at no additional cost. (Only if true.)</t>
        </is>
      </c>
      <c r="I10" s="8" t="inlineStr">
        <is>
          <t>"Nationwide" and "free-of-charge" are availability and pricing claims; "qualified patients" is undefined; third-party trademarks must be used accurately. The same lab claim appears on other pages, so one decision fixes several.</t>
        </is>
      </c>
      <c r="J10" s="8" t="inlineStr">
        <is>
          <t>LS Step §3 Inadequate Provider Transparency; FTC clear-and-conspicuous</t>
        </is>
      </c>
      <c r="K10" s="8" t="inlineStr">
        <is>
          <t>Which states labs are available in; what "qualified" means; whether lab cost is included; trademark attribution.</t>
        </is>
      </c>
      <c r="L10" s="8" t="inlineStr">
        <is>
          <t>Derek</t>
        </is>
      </c>
      <c r="M10" s="9" t="inlineStr"/>
      <c r="N10" s="9" t="inlineStr"/>
      <c r="O10" s="9" t="inlineStr"/>
      <c r="P10" s="9" t="inlineStr">
        <is>
          <t>Open</t>
        </is>
      </c>
      <c r="Q10" s="9" t="inlineStr"/>
    </row>
    <row r="11">
      <c r="A11" s="8" t="inlineStr">
        <is>
          <t>WL-10</t>
        </is>
      </c>
      <c r="B11" s="8" t="inlineStr">
        <is>
          <t>Weight Management Treatments</t>
        </is>
      </c>
      <c r="C11" s="8" t="inlineStr">
        <is>
          <t>src/data/weight.ts · weightProductsIntro.lead + footnote</t>
        </is>
      </c>
      <c r="D11" s="8" t="inlineStr">
        <is>
          <t>PASS</t>
        </is>
      </c>
      <c r="E11" s="8" t="inlineStr"/>
      <c r="F11" s="8" t="inlineStr">
        <is>
          <t>Rule 2 (model language)</t>
        </is>
      </c>
      <c r="G11" s="8" t="inlineStr">
        <is>
          <t>Every treatment begins with a free online health assessment. A licensed healthcare provider will review your health history, symptoms, and wellness goals before recommending a personalized weight management plan—if clinically appropriate. / Prescription required. Treatment recommendations depend on your assessment and provider evaluation.</t>
        </is>
      </c>
      <c r="H11" s="8" t="inlineStr"/>
      <c r="I11" s="8" t="inlineStr">
        <is>
          <t>This is exactly the conservative prescribing language the spec asks for. No change.</t>
        </is>
      </c>
      <c r="J11" s="8" t="inlineStr">
        <is>
          <t>Client prompt rule 3</t>
        </is>
      </c>
      <c r="K11" s="8" t="inlineStr"/>
      <c r="L11" s="8" t="inlineStr"/>
      <c r="M11" s="9" t="inlineStr"/>
      <c r="N11" s="9" t="inlineStr"/>
      <c r="O11" s="9" t="inlineStr"/>
      <c r="P11" s="9" t="inlineStr">
        <is>
          <t>Open</t>
        </is>
      </c>
      <c r="Q11" s="9" t="inlineStr"/>
    </row>
    <row r="12">
      <c r="A12" s="8" t="inlineStr">
        <is>
          <t>WL-11</t>
        </is>
      </c>
      <c r="B12" s="8" t="inlineStr">
        <is>
          <t>Weight Management Treatments</t>
        </is>
      </c>
      <c r="C12" s="8" t="inlineStr">
        <is>
          <t>src/data/weight.ts · weightProducts[*].benefits (benefit pills on all three cards)</t>
        </is>
      </c>
      <c r="D12" s="8" t="inlineStr">
        <is>
          <t>REVISE</t>
        </is>
      </c>
      <c r="E12" s="8" t="inlineStr">
        <is>
          <t>S2</t>
        </is>
      </c>
      <c r="F12" s="8" t="inlineStr">
        <is>
          <t>Rule 1 Outcome claims; Rule 5 GLP-1 compounded; Rule 9 Short formats</t>
        </is>
      </c>
      <c r="G12" s="8" t="inlineStr">
        <is>
          <t>Weight Loss · Appetite Control · Reduced Cravings · Blood Sugar Support (semaglutide) / Weight Loss · Appetite Control · Metabolic Health · Blood Sugar Support (tirzepatide) / Weight Loss · Appetite Control · Reduced Cravings · Convenience (oral)</t>
        </is>
      </c>
      <c r="H12" s="8" t="inlineStr">
        <is>
          <t>Compounded Semaglutide: GLP-1 Receptor Agonist · Appetite Regulation · Weekly Dosing · Provider Monitored / Compounded Tirzepatide: Dual GIP/GLP-1 · Appetite Regulation · Weekly Dosing · Provider Monitored / Oral: GLP-1 Receptor Agonist · Appetite Regulation · Daily Tablet · Needle-Free</t>
        </is>
      </c>
      <c r="I12" s="8" t="inlineStr">
        <is>
          <t>Two-word pills are headline outcome claims. For compounded products there is no trial evidence of their own to support them, and "Blood Sugar Support" reads as a diabetes claim on a weight-management product. A footnote cannot rescue a pill. Describing what the medication is and how it is taken keeps the design and removes the claims.</t>
        </is>
      </c>
      <c r="J12" s="8" t="inlineStr">
        <is>
          <t>Cheat Sheet §4 FDA Sept 2025 warning letters (sameness and efficacy claims); LS Fact p.2 "bold health claims"; client prompt rule 10</t>
        </is>
      </c>
      <c r="K12" s="8" t="inlineStr"/>
      <c r="L12" s="8" t="inlineStr">
        <is>
          <t>Derek (design template used on other pages)</t>
        </is>
      </c>
      <c r="M12" s="9" t="inlineStr"/>
      <c r="N12" s="9" t="inlineStr"/>
      <c r="O12" s="9" t="inlineStr"/>
      <c r="P12" s="9" t="inlineStr">
        <is>
          <t>Open</t>
        </is>
      </c>
      <c r="Q12" s="9" t="inlineStr"/>
    </row>
    <row r="13">
      <c r="A13" s="8" t="inlineStr">
        <is>
          <t>WL-12</t>
        </is>
      </c>
      <c r="B13" s="8" t="inlineStr">
        <is>
          <t>Weight Management Treatments</t>
        </is>
      </c>
      <c r="C13" s="8" t="inlineStr">
        <is>
          <t>src/data/weight.ts · weightProducts[0..1].description</t>
        </is>
      </c>
      <c r="D13" s="8" t="inlineStr">
        <is>
          <t>PASS</t>
        </is>
      </c>
      <c r="E13" s="8" t="inlineStr"/>
      <c r="F13" s="8" t="inlineStr">
        <is>
          <t>Rule 1</t>
        </is>
      </c>
      <c r="G13" s="8" t="inlineStr">
        <is>
          <t>Weekly GLP-1 treatment to help support appetite regulation and healthy weight loss. / Dual GIP/GLP-1 treatment designed to support appetite regulation and metabolic health.</t>
        </is>
      </c>
      <c r="H13" s="8" t="inlineStr"/>
      <c r="I13" s="8" t="inlineStr">
        <is>
          <t>Mechanism-level, hedged appropriately. Acceptable once the pills above are fixed.</t>
        </is>
      </c>
      <c r="J13" s="8" t="inlineStr"/>
      <c r="K13" s="8" t="inlineStr"/>
      <c r="L13" s="8" t="inlineStr"/>
      <c r="M13" s="9" t="inlineStr"/>
      <c r="N13" s="9" t="inlineStr"/>
      <c r="O13" s="9" t="inlineStr"/>
      <c r="P13" s="9" t="inlineStr">
        <is>
          <t>Open</t>
        </is>
      </c>
      <c r="Q13" s="9" t="inlineStr"/>
    </row>
    <row r="14">
      <c r="A14" s="8" t="inlineStr">
        <is>
          <t>WL-13</t>
        </is>
      </c>
      <c r="B14" s="8" t="inlineStr">
        <is>
          <t>Weight Management Treatments</t>
        </is>
      </c>
      <c r="C14" s="8" t="inlineStr">
        <is>
          <t>src/data/weight.ts · weightProducts[2].name "Oral Semaglutide"</t>
        </is>
      </c>
      <c r="D14" s="8" t="inlineStr">
        <is>
          <t>FLAG</t>
        </is>
      </c>
      <c r="E14" s="8" t="inlineStr">
        <is>
          <t>S1</t>
        </is>
      </c>
      <c r="F14" s="8" t="inlineStr">
        <is>
          <t>Rule 4 FDA-approved vs compounded</t>
        </is>
      </c>
      <c r="G14" s="8" t="inlineStr">
        <is>
          <t>Oral Semaglutide — Daily oral GLP-1 option—a convenient, needle-free alternative.</t>
        </is>
      </c>
      <c r="H14" s="8" t="inlineStr">
        <is>
          <t>Compounded Oral Semaglutide (if compounded). If this is the FDA-approved product, name it as such.</t>
        </is>
      </c>
      <c r="I14" s="8" t="inlineStr">
        <is>
          <t>This is the only card without "Compounded" in the name. An FDA-approved oral semaglutide exists (Rybelsus), so the unlabeled name implies the approved product.</t>
        </is>
      </c>
      <c r="J14" s="8" t="inlineStr">
        <is>
          <t>Cheat Sheet §4; client prompt rule 5</t>
        </is>
      </c>
      <c r="K14" s="8" t="inlineStr">
        <is>
          <t>Confirm the formulation and source of the oral product.</t>
        </is>
      </c>
      <c r="L14" s="8" t="inlineStr">
        <is>
          <t>Derek / Scriptful</t>
        </is>
      </c>
      <c r="M14" s="9" t="inlineStr"/>
      <c r="N14" s="9" t="inlineStr"/>
      <c r="O14" s="9" t="inlineStr"/>
      <c r="P14" s="9" t="inlineStr">
        <is>
          <t>Open</t>
        </is>
      </c>
      <c r="Q14" s="9" t="inlineStr"/>
    </row>
    <row r="15">
      <c r="A15" s="8" t="inlineStr">
        <is>
          <t>WL-14</t>
        </is>
      </c>
      <c r="B15" s="8" t="inlineStr">
        <is>
          <t>Weight Management Treatments</t>
        </is>
      </c>
      <c r="C15" s="8" t="inlineStr">
        <is>
          <t>Page-level: no compounded-drug disclosure anywhere on the page</t>
        </is>
      </c>
      <c r="D15" s="8" t="inlineStr">
        <is>
          <t>FLAG</t>
        </is>
      </c>
      <c r="E15" s="8" t="inlineStr">
        <is>
          <t>S1</t>
        </is>
      </c>
      <c r="F15" s="8" t="inlineStr">
        <is>
          <t>Rule 4; Rule 12 Missing transparency item</t>
        </is>
      </c>
      <c r="G15" s="8" t="inlineStr">
        <is>
          <t>(absent)</t>
        </is>
      </c>
      <c r="H15" s="8" t="inlineStr">
        <is>
          <t>Add beneath the product cards or in the site footer: "Compounded medications are not FDA-approved finished drug products and have not been evaluated by FDA for safety, effectiveness, or quality. A licensed healthcare provider determines whether a particular treatment and formulation may be appropriate for you."</t>
        </is>
      </c>
      <c r="I15" s="8" t="inlineStr">
        <is>
          <t>The page sells two, possibly three, compounded products with no statement of their FDA status. Both LegitScript's transparency standard and the FDA's September 2025 letters target this omission.</t>
        </is>
      </c>
      <c r="J15" s="8" t="inlineStr">
        <is>
          <t>Cheat Sheet §9 Model B footer; LS Fact "Transparency and Accuracy"; client prompt rule 5</t>
        </is>
      </c>
      <c r="K15" s="8" t="inlineStr">
        <is>
          <t>Decide placement: product section on each treatment page, site-wide footer, or both.</t>
        </is>
      </c>
      <c r="L15" s="8" t="inlineStr">
        <is>
          <t>Derek</t>
        </is>
      </c>
      <c r="M15" s="9" t="inlineStr"/>
      <c r="N15" s="9" t="inlineStr"/>
      <c r="O15" s="9" t="inlineStr"/>
      <c r="P15" s="9" t="inlineStr">
        <is>
          <t>Open</t>
        </is>
      </c>
      <c r="Q15" s="9" t="inlineStr"/>
    </row>
    <row r="16">
      <c r="A16" s="8" t="inlineStr">
        <is>
          <t>WL-15</t>
        </is>
      </c>
      <c r="B16" s="8" t="inlineStr">
        <is>
          <t>Weight Management Treatments</t>
        </is>
      </c>
      <c r="C16" s="8" t="inlineStr">
        <is>
          <t>src/data/weight.ts · price / priceNote / priceFootnote</t>
        </is>
      </c>
      <c r="D16" s="8" t="inlineStr">
        <is>
          <t>FLAG</t>
        </is>
      </c>
      <c r="E16" s="8" t="inlineStr">
        <is>
          <t>S1</t>
        </is>
      </c>
      <c r="F16" s="8" t="inlineStr">
        <is>
          <t>Rule 12 Transparency (pricing)</t>
        </is>
      </c>
      <c r="G16" s="8" t="inlineStr">
        <is>
          <t>Starting at $179 /month* … $269 … $209 … * Starting price reflects a 52-week plan. Actual pricing depends on your provider's recommended plan.</t>
        </is>
      </c>
      <c r="H16" s="8" t="inlineStr">
        <is>
          <t>No wording change if accurate. Consider showing the shorter-commitment monthly price next to the 52-week price so the "starting at" figure is not the only number a visitor sees.</t>
        </is>
      </c>
      <c r="I16" s="8" t="inlineStr">
        <is>
          <t>Starting-price claims tied to a 52-week commitment must be clear and conspicuous and must match checkout. LegitScript reads pricing pages against the application's service description.</t>
        </is>
      </c>
      <c r="J16" s="8" t="inlineStr">
        <is>
          <t>LS Fact "Transparency and Accuracy"; FTC clear-and-conspicuous</t>
        </is>
      </c>
      <c r="K16" s="8" t="inlineStr">
        <is>
          <t>Confirm the three prices and the 52-week condition against Scriptful checkout.</t>
        </is>
      </c>
      <c r="L16" s="8" t="inlineStr">
        <is>
          <t>Derek</t>
        </is>
      </c>
      <c r="M16" s="9" t="inlineStr"/>
      <c r="N16" s="9" t="inlineStr"/>
      <c r="O16" s="9" t="inlineStr"/>
      <c r="P16" s="9" t="inlineStr">
        <is>
          <t>Open</t>
        </is>
      </c>
      <c r="Q16" s="9" t="inlineStr"/>
    </row>
    <row r="17">
      <c r="A17" s="8" t="inlineStr">
        <is>
          <t>WL-16</t>
        </is>
      </c>
      <c r="B17" s="8" t="inlineStr">
        <is>
          <t>Everything Included strip</t>
        </is>
      </c>
      <c r="C17" s="8" t="inlineStr">
        <is>
          <t>src/components/EverythingIncludedStrip.astro (renders on every treatment page)</t>
        </is>
      </c>
      <c r="D17" s="8" t="inlineStr">
        <is>
          <t>FLAG</t>
        </is>
      </c>
      <c r="E17" s="8" t="inlineStr">
        <is>
          <t>S1</t>
        </is>
      </c>
      <c r="F17" s="8" t="inlineStr">
        <is>
          <t>Rule 12 Transparency; Rule 9 Disclaimers</t>
        </is>
      </c>
      <c r="G17" s="8" t="inlineStr">
        <is>
          <t>One simple monthly price. No surprises. … No Membership Fees · No Hidden Fees · Cancel Anytime*</t>
        </is>
      </c>
      <c r="H17" s="8" t="inlineStr">
        <is>
          <t>Add the footnote the asterisk promises, on the strip itself: "* Cancel anytime. Refunds are available before that month's medication has been ordered." (wording already used on the homepage in content.ts)</t>
        </is>
      </c>
      <c r="I17" s="8" t="inlineStr">
        <is>
          <t>"Cancel Anytime*" carries an asterisk with no footnote anywhere on the strip. "No surprises" and "No Hidden Fees" are absolute claims sitting next to a 52-week starting price.</t>
        </is>
      </c>
      <c r="J17" s="8" t="inlineStr">
        <is>
          <t>LS Fact "Transparency and Accuracy"; client prompt rule 10</t>
        </is>
      </c>
      <c r="K17" s="8" t="inlineStr">
        <is>
          <t>Confirm cancellation and refund terms with Scriptful; fix once, since the strip is shared by all treatment pages.</t>
        </is>
      </c>
      <c r="L17" s="8" t="inlineStr">
        <is>
          <t>Derek</t>
        </is>
      </c>
      <c r="M17" s="9" t="inlineStr"/>
      <c r="N17" s="9" t="inlineStr"/>
      <c r="O17" s="9" t="inlineStr"/>
      <c r="P17" s="9" t="inlineStr">
        <is>
          <t>Open</t>
        </is>
      </c>
      <c r="Q17" s="9" t="inlineStr"/>
    </row>
    <row r="18">
      <c r="A18" s="8" t="inlineStr">
        <is>
          <t>WL-17</t>
        </is>
      </c>
      <c r="B18" s="8" t="inlineStr">
        <is>
          <t>Common Questions</t>
        </is>
      </c>
      <c r="C18" s="8" t="inlineStr">
        <is>
          <t>src/data/weight.ts · weightFaqs[0,1,2,4,5,7]</t>
        </is>
      </c>
      <c r="D18" s="8" t="inlineStr">
        <is>
          <t>PASS</t>
        </is>
      </c>
      <c r="E18" s="8" t="inlineStr"/>
      <c r="F18" s="8" t="inlineStr">
        <is>
          <t>Rule 2</t>
        </is>
      </c>
      <c r="G18" s="8" t="inlineStr">
        <is>
          <t>Can I qualify … / How do I know which program … / Are lab tests required … / Do I receive ongoing support … / Can my treatment plan change … / Is my information secure …</t>
        </is>
      </c>
      <c r="H18" s="8" t="inlineStr"/>
      <c r="I18" s="8" t="inlineStr">
        <is>
          <t>All six describe individualized provider evaluation without promising a prescription. No change.</t>
        </is>
      </c>
      <c r="J18" s="8" t="inlineStr"/>
      <c r="K18" s="8" t="inlineStr"/>
      <c r="L18" s="8" t="inlineStr"/>
      <c r="M18" s="9" t="inlineStr"/>
      <c r="N18" s="9" t="inlineStr"/>
      <c r="O18" s="9" t="inlineStr"/>
      <c r="P18" s="9" t="inlineStr">
        <is>
          <t>Open</t>
        </is>
      </c>
      <c r="Q18" s="9" t="inlineStr"/>
    </row>
    <row r="19">
      <c r="A19" s="8" t="inlineStr">
        <is>
          <t>WL-18</t>
        </is>
      </c>
      <c r="B19" s="8" t="inlineStr">
        <is>
          <t>Common Questions</t>
        </is>
      </c>
      <c r="C19" s="8" t="inlineStr">
        <is>
          <t>src/data/weight.ts · weightFaqs[3] delivery</t>
        </is>
      </c>
      <c r="D19" s="8" t="inlineStr">
        <is>
          <t>PASS</t>
        </is>
      </c>
      <c r="E19" s="8" t="inlineStr"/>
      <c r="F19" s="8" t="inlineStr">
        <is>
          <t>Rule 11 (model language)</t>
        </is>
      </c>
      <c r="G19" s="8" t="inlineStr">
        <is>
          <t>Once approved by your provider, prescriptions are processed through licensed pharmacy partners. Delivery times vary, but most patients receive their medications within several business days.</t>
        </is>
      </c>
      <c r="H19" s="8" t="inlineStr"/>
      <c r="I19" s="8" t="inlineStr">
        <is>
          <t>Correctly separates provider, WellPeps, and pharmacy partner. No change.</t>
        </is>
      </c>
      <c r="J19" s="8" t="inlineStr"/>
      <c r="K19" s="8" t="inlineStr"/>
      <c r="L19" s="8" t="inlineStr"/>
      <c r="M19" s="9" t="inlineStr"/>
      <c r="N19" s="9" t="inlineStr"/>
      <c r="O19" s="9" t="inlineStr"/>
      <c r="P19" s="9" t="inlineStr">
        <is>
          <t>Open</t>
        </is>
      </c>
      <c r="Q19" s="9" t="inlineStr"/>
    </row>
    <row r="20">
      <c r="A20" s="8" t="inlineStr">
        <is>
          <t>WL-19</t>
        </is>
      </c>
      <c r="B20" s="8" t="inlineStr">
        <is>
          <t>Common Questions + Footer</t>
        </is>
      </c>
      <c r="C20" s="8" t="inlineStr">
        <is>
          <t>src/data/weight.ts · weightFaqs[6] and Footer.astro "Licensed Providers in All 50 States"</t>
        </is>
      </c>
      <c r="D20" s="8" t="inlineStr">
        <is>
          <t>FLAG</t>
        </is>
      </c>
      <c r="E20" s="8" t="inlineStr">
        <is>
          <t>S1</t>
        </is>
      </c>
      <c r="F20" s="8" t="inlineStr">
        <is>
          <t>Rule 12 Transparency (states served)</t>
        </is>
      </c>
      <c r="G20" s="8" t="inlineStr">
        <is>
          <t>WellPeps works with licensed providers across all 50 states, although specific treatment availability may vary based on state regulations. / Licensed Providers in All 50 States</t>
        </is>
      </c>
      <c r="H20" s="8" t="inlineStr">
        <is>
          <t>WellPeps works with licensed providers in [N] states. Treatment availability varies by state; see our [state availability] page.</t>
        </is>
      </c>
      <c r="I20" s="8" t="inlineStr">
        <is>
          <t>LegitScript requires the site to clearly disclose every state in which services are available. "All 50 states" must be true for both provider licensure and pharmacy shipping, and must match the Scriptful excluded-states configuration.</t>
        </is>
      </c>
      <c r="J20" s="8" t="inlineStr">
        <is>
          <t>LS Step §3 Inadequate Provider Transparency; LS 101 "Understand your service jurisdictions"</t>
        </is>
      </c>
      <c r="K20" s="8" t="inlineStr">
        <is>
          <t>Provider coverage by state from the licensure spreadsheet; pharmacy shipping states; publish a state list page.</t>
        </is>
      </c>
      <c r="L20" s="8" t="inlineStr">
        <is>
          <t>Derek</t>
        </is>
      </c>
      <c r="M20" s="9" t="inlineStr"/>
      <c r="N20" s="9" t="inlineStr"/>
      <c r="O20" s="9" t="inlineStr"/>
      <c r="P20" s="9" t="inlineStr">
        <is>
          <t>Open</t>
        </is>
      </c>
      <c r="Q20" s="9" t="inlineStr"/>
    </row>
    <row r="21">
      <c r="A21" s="8" t="inlineStr">
        <is>
          <t>WL-20</t>
        </is>
      </c>
      <c r="B21" s="8" t="inlineStr">
        <is>
          <t>Final CTA</t>
        </is>
      </c>
      <c r="C21" s="8" t="inlineStr">
        <is>
          <t>src/data/weight.ts · weightCta</t>
        </is>
      </c>
      <c r="D21" s="8" t="inlineStr">
        <is>
          <t>REVISE</t>
        </is>
      </c>
      <c r="E21" s="8" t="inlineStr">
        <is>
          <t>S3</t>
        </is>
      </c>
      <c r="F21" s="8" t="inlineStr">
        <is>
          <t>Rule 2 Prescribing language; LS Fact urgency</t>
        </is>
      </c>
      <c r="G21" s="8" t="inlineStr">
        <is>
          <t>Ready to Start Your Weight Loss Journey? Begin your personalized, provider-guided weight loss journey today. It only takes a few minutes.</t>
        </is>
      </c>
      <c r="H21" s="8" t="inlineStr">
        <is>
          <t>Ready to Start? Begin your personalized, provider-guided weight management plan with a free online health assessment. The assessment takes only a few minutes.</t>
        </is>
      </c>
      <c r="I21" s="8" t="inlineStr">
        <is>
          <t>"It only takes a few minutes" beside "start your weight loss journey" reads as minutes to treatment, which is both a guaranteed-prescription implication and urgency language. Tying the time to the assessment fixes it without losing the CTA.</t>
        </is>
      </c>
      <c r="J21" s="8" t="inlineStr">
        <is>
          <t>LS Fact p.2 "urgency language"; client prompt rule 3</t>
        </is>
      </c>
      <c r="K21" s="8" t="inlineStr"/>
      <c r="L21" s="8" t="inlineStr"/>
      <c r="M21" s="9" t="inlineStr"/>
      <c r="N21" s="9" t="inlineStr"/>
      <c r="O21" s="9" t="inlineStr"/>
      <c r="P21" s="9" t="inlineStr">
        <is>
          <t>Open</t>
        </is>
      </c>
      <c r="Q21" s="9" t="inlineStr"/>
    </row>
    <row r="22">
      <c r="A22" s="8" t="inlineStr">
        <is>
          <t>WL-21</t>
        </is>
      </c>
      <c r="B22" s="8" t="inlineStr">
        <is>
          <t>Footer</t>
        </is>
      </c>
      <c r="C22" s="8" t="inlineStr">
        <is>
          <t>src/components/Footer.astro · disclaimer</t>
        </is>
      </c>
      <c r="D22" s="8" t="inlineStr">
        <is>
          <t>PASS</t>
        </is>
      </c>
      <c r="E22" s="8" t="inlineStr"/>
      <c r="F22" s="8" t="inlineStr">
        <is>
          <t>Rule 11 (model language)</t>
        </is>
      </c>
      <c r="G22" s="8" t="inlineStr">
        <is>
          <t>WellPeps is a platform that connects patients with licensed healthcare providers and pharmacy partners. Medical services are provided by independent providers. WellPeps does not provide medical advice, diagnosis, or treatment.</t>
        </is>
      </c>
      <c r="H22" s="8" t="inlineStr"/>
      <c r="I22" s="8" t="inlineStr">
        <is>
          <t>This is the correct description of WellPeps' role. No change.</t>
        </is>
      </c>
      <c r="J22" s="8" t="inlineStr"/>
      <c r="K22" s="8" t="inlineStr"/>
      <c r="L22" s="8" t="inlineStr"/>
      <c r="M22" s="9" t="inlineStr"/>
      <c r="N22" s="9" t="inlineStr"/>
      <c r="O22" s="9" t="inlineStr"/>
      <c r="P22" s="9" t="inlineStr">
        <is>
          <t>Open</t>
        </is>
      </c>
      <c r="Q22" s="9" t="inlineStr"/>
    </row>
    <row r="23">
      <c r="A23" s="8" t="inlineStr">
        <is>
          <t>WL-22</t>
        </is>
      </c>
      <c r="B23" s="8" t="inlineStr">
        <is>
          <t>Footer</t>
        </is>
      </c>
      <c r="C23" s="8" t="inlineStr">
        <is>
          <t>src/components/Footer.astro · copyright</t>
        </is>
      </c>
      <c r="D23" s="8" t="inlineStr">
        <is>
          <t>PASS</t>
        </is>
      </c>
      <c r="E23" s="8" t="inlineStr"/>
      <c r="F23" s="8" t="inlineStr"/>
      <c r="G23" s="8" t="inlineStr">
        <is>
          <t>© 2025 WellPeps. All rights reserved.</t>
        </is>
      </c>
      <c r="H23" s="8" t="inlineStr"/>
      <c r="I23" s="8" t="inlineStr">
        <is>
          <t>No compliance issue. Housekeeping: update to 2026.</t>
        </is>
      </c>
      <c r="J23" s="8" t="inlineStr"/>
      <c r="K23" s="8" t="inlineStr"/>
      <c r="L23" s="8" t="inlineStr"/>
      <c r="M23" s="9" t="inlineStr"/>
      <c r="N23" s="9" t="inlineStr"/>
      <c r="O23" s="9" t="inlineStr"/>
      <c r="P23" s="9" t="inlineStr">
        <is>
          <t>Open</t>
        </is>
      </c>
      <c r="Q23" s="9" t="inlineStr"/>
    </row>
    <row r="24">
      <c r="A24" s="8" t="inlineStr">
        <is>
          <t>WL-23</t>
        </is>
      </c>
      <c r="B24" s="8" t="inlineStr">
        <is>
          <t>Virtual assistant</t>
        </is>
      </c>
      <c r="C24" s="8" t="inlineStr">
        <is>
          <t>Assistant.astro greeting and quick questions (answers live in src/data/knowledge.ts)</t>
        </is>
      </c>
      <c r="D24" s="8" t="inlineStr">
        <is>
          <t>PASS</t>
        </is>
      </c>
      <c r="E24" s="8" t="inlineStr"/>
      <c r="F24" s="8" t="inlineStr"/>
      <c r="G24" s="8" t="inlineStr">
        <is>
          <t>Hi! I'm the WellPeps assistant. I can answer questions about our programs, pricing, the assessment process, and how our care works — and I'll point you to the source. I can't give medical advice. / Where do your medications come from?</t>
        </is>
      </c>
      <c r="H24" s="8" t="inlineStr"/>
      <c r="I24" s="8" t="inlineStr">
        <is>
          <t>Greeting is compliant. The answer corpus behind "Where do your medications come from?" is a separate surface and is queued for its own review.</t>
        </is>
      </c>
      <c r="J24" s="8" t="inlineStr">
        <is>
          <t>Surface map §2 virtual assistant</t>
        </is>
      </c>
      <c r="K24" s="8" t="inlineStr"/>
      <c r="L24" s="8" t="inlineStr"/>
      <c r="M24" s="9" t="inlineStr"/>
      <c r="N24" s="9" t="inlineStr"/>
      <c r="O24" s="9" t="inlineStr"/>
      <c r="P24" s="9" t="inlineStr">
        <is>
          <t>Open</t>
        </is>
      </c>
      <c r="Q24" s="9" t="inlineStr"/>
    </row>
    <row r="25">
      <c r="A25" s="8" t="inlineStr">
        <is>
          <t>WL-24</t>
        </is>
      </c>
      <c r="B25" s="8" t="inlineStr">
        <is>
          <t>Everything Included strip</t>
        </is>
      </c>
      <c r="C25" s="8" t="inlineStr">
        <is>
          <t>EverythingIncludedStrip.astro · "Prescription Medication" as an included item</t>
        </is>
      </c>
      <c r="D25" s="8" t="inlineStr">
        <is>
          <t>PASS</t>
        </is>
      </c>
      <c r="E25" s="8" t="inlineStr"/>
      <c r="F25" s="8" t="inlineStr">
        <is>
          <t>Rule 2</t>
        </is>
      </c>
      <c r="G25" s="8" t="inlineStr">
        <is>
          <t>Prescription Medication · Licensed Provider Evaluation · Ongoing Support · Standard Shipping · No Membership Fees</t>
        </is>
      </c>
      <c r="H25" s="8" t="inlineStr"/>
      <c r="I25" s="8" t="inlineStr">
        <is>
          <t>Read together with the "Prescription required" footnote directly above it, this does not imply a guaranteed prescription. Acceptable.</t>
        </is>
      </c>
      <c r="J25" s="8" t="inlineStr"/>
      <c r="K25" s="8" t="inlineStr"/>
      <c r="L25" s="8" t="inlineStr"/>
      <c r="M25" s="9" t="inlineStr"/>
      <c r="N25" s="9" t="inlineStr"/>
      <c r="O25" s="9" t="inlineStr"/>
      <c r="P25" s="9" t="inlineStr">
        <is>
          <t>Open</t>
        </is>
      </c>
      <c r="Q25" s="9" t="inlineStr"/>
    </row>
    <row r="26">
      <c r="A26" s="8" t="inlineStr">
        <is>
          <t>WL-25</t>
        </is>
      </c>
      <c r="B26" s="8" t="inlineStr">
        <is>
          <t>Navigation</t>
        </is>
      </c>
      <c r="C26" s="8" t="inlineStr">
        <is>
          <t>NavBar.astro labels</t>
        </is>
      </c>
      <c r="D26" s="8" t="inlineStr">
        <is>
          <t>PASS</t>
        </is>
      </c>
      <c r="E26" s="8" t="inlineStr"/>
      <c r="F26" s="8" t="inlineStr"/>
      <c r="G26" s="8" t="inlineStr">
        <is>
          <t>Weight Loss · Hair Restoration · Sexual Wellness · Peptides &amp; More · Why WellPeps · Patient Portal · Start Free Assessment</t>
        </is>
      </c>
      <c r="H26" s="8" t="inlineStr"/>
      <c r="I26" s="8" t="inlineStr">
        <is>
          <t>No material issue.</t>
        </is>
      </c>
      <c r="J26" s="8" t="inlineStr"/>
      <c r="K26" s="8" t="inlineStr"/>
      <c r="L26" s="8" t="inlineStr"/>
      <c r="M26" s="9" t="inlineStr"/>
      <c r="N26" s="9" t="inlineStr"/>
      <c r="O26" s="9" t="inlineStr"/>
      <c r="P26" s="9" t="inlineStr">
        <is>
          <t>Open</t>
        </is>
      </c>
      <c r="Q26" s="9" t="inlineStr"/>
    </row>
  </sheetData>
  <autoFilter ref="A1:Q26"/>
  <conditionalFormatting sqref="D2:D26">
    <cfRule type="cellIs" priority="1" operator="equal" dxfId="0">
      <formula>"PASS"</formula>
    </cfRule>
    <cfRule type="cellIs" priority="2" operator="equal" dxfId="1">
      <formula>"REVISE"</formula>
    </cfRule>
    <cfRule type="cellIs" priority="3" operator="equal" dxfId="2">
      <formula>"FLAG"</formula>
    </cfRule>
  </conditionalFormatting>
  <conditionalFormatting sqref="E2:E26">
    <cfRule type="cellIs" priority="4" operator="equal" dxfId="3">
      <formula>"S1"</formula>
    </cfRule>
  </conditionalFormatting>
  <dataValidations count="4">
    <dataValidation sqref="D2:D26" showDropDown="0" showInputMessage="0" showErrorMessage="0" allowBlank="1" type="list">
      <formula1>"PASS,REVISE,FLAG"</formula1>
    </dataValidation>
    <dataValidation sqref="E2:E26" showDropDown="0" showInputMessage="0" showErrorMessage="0" allowBlank="1" type="list">
      <formula1>"S1,S2,S3"</formula1>
    </dataValidation>
    <dataValidation sqref="O2:O26" showDropDown="0" showInputMessage="0" showErrorMessage="0" allowBlank="1" type="list">
      <formula1>"Approve,Modify,Reject,Needs info"</formula1>
    </dataValidation>
    <dataValidation sqref="P2:P26" showDropDown="0" showInputMessage="0" showErrorMessage="0" allowBlank="1" type="list">
      <formula1>"Open,In progress,Done"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2026-09-16T03:24:20Z</dcterms:created>
  <dcterms:modified xmlns:dcterms="http://purl.org/dc/terms/" xmlns:xsi="http://www.w3.org/2001/XMLSchema-instance" xsi:type="dcterms:W3CDTF">2026-09-16T03:24:21Z</dcterms:modified>
</cp:coreProperties>
</file>